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pujak\OneDrive\Desktop\Excel Freelancing\Sales Data Cleaning Sample\"/>
    </mc:Choice>
  </mc:AlternateContent>
  <xr:revisionPtr revIDLastSave="0" documentId="13_ncr:1_{1C98DBD6-FBC9-4B1C-A9EE-92CEAEB87DC1}" xr6:coauthVersionLast="47" xr6:coauthVersionMax="47" xr10:uidLastSave="{00000000-0000-0000-0000-000000000000}"/>
  <bookViews>
    <workbookView xWindow="-108" yWindow="-108" windowWidth="23256" windowHeight="12456" activeTab="3" xr2:uid="{6C85A7D8-3948-4193-BA80-72CE69016E7A}"/>
  </bookViews>
  <sheets>
    <sheet name="Raw Data" sheetId="1" r:id="rId1"/>
    <sheet name="Clean Data" sheetId="3" r:id="rId2"/>
    <sheet name="Sales Summary" sheetId="4" r:id="rId3"/>
    <sheet name="Dashboard" sheetId="5" r:id="rId4"/>
  </sheets>
  <externalReferences>
    <externalReference r:id="rId5"/>
  </externalReferences>
  <definedNames>
    <definedName name="Slicer_Category">#N/A</definedName>
    <definedName name="Slicer_City">#N/A</definedName>
    <definedName name="Slicer_Payment_Mode">#N/A</definedName>
  </definedNames>
  <calcPr calcId="191029"/>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5" l="1"/>
  <c r="F5" i="5"/>
  <c r="D5" i="5"/>
  <c r="B5" i="5"/>
  <c r="M2" i="3"/>
  <c r="M3" i="3"/>
  <c r="M4" i="3"/>
  <c r="M5" i="3"/>
  <c r="M6" i="3"/>
  <c r="M7" i="3"/>
  <c r="M8" i="3"/>
  <c r="M9" i="3"/>
  <c r="M10" i="3"/>
  <c r="M11" i="3"/>
  <c r="M12" i="3"/>
  <c r="M13" i="3"/>
  <c r="M14" i="3"/>
  <c r="M15" i="3"/>
  <c r="M16" i="3"/>
  <c r="M17" i="3"/>
  <c r="M18" i="3"/>
  <c r="M19" i="3"/>
  <c r="M20" i="3"/>
  <c r="M21" i="3"/>
  <c r="M22" i="3"/>
  <c r="M1" i="3"/>
  <c r="L3" i="3"/>
  <c r="L4" i="3"/>
  <c r="L5" i="3"/>
  <c r="L6" i="3"/>
  <c r="L7" i="3"/>
  <c r="L8" i="3"/>
  <c r="L9" i="3"/>
  <c r="L10" i="3"/>
  <c r="L11" i="3"/>
  <c r="L12" i="3"/>
  <c r="L13" i="3"/>
  <c r="L14" i="3"/>
  <c r="L15" i="3"/>
  <c r="L16" i="3"/>
  <c r="L17" i="3"/>
  <c r="L18" i="3"/>
  <c r="L19" i="3"/>
  <c r="L20" i="3"/>
  <c r="L21" i="3"/>
  <c r="L22" i="3"/>
  <c r="L2" i="3"/>
  <c r="K3" i="3"/>
  <c r="K4" i="3"/>
  <c r="K5" i="3"/>
  <c r="K6" i="3"/>
  <c r="K7" i="3"/>
  <c r="K8" i="3"/>
  <c r="K9" i="3"/>
  <c r="K10" i="3"/>
  <c r="K11" i="3"/>
  <c r="K12" i="3"/>
  <c r="K13" i="3"/>
  <c r="K14" i="3"/>
  <c r="K15" i="3"/>
  <c r="K16" i="3"/>
  <c r="K17" i="3"/>
  <c r="K18" i="3"/>
  <c r="K19" i="3"/>
  <c r="K20" i="3"/>
  <c r="K21" i="3"/>
  <c r="K22" i="3"/>
  <c r="K2" i="3"/>
  <c r="K3" i="1"/>
  <c r="K1" i="1"/>
</calcChain>
</file>

<file path=xl/sharedStrings.xml><?xml version="1.0" encoding="utf-8"?>
<sst xmlns="http://schemas.openxmlformats.org/spreadsheetml/2006/main" count="290" uniqueCount="69">
  <si>
    <t>Order ID</t>
  </si>
  <si>
    <t>Order Date</t>
  </si>
  <si>
    <t>Customer Name</t>
  </si>
  <si>
    <t>City</t>
  </si>
  <si>
    <t>Product</t>
  </si>
  <si>
    <t>Category</t>
  </si>
  <si>
    <t>Quantity</t>
  </si>
  <si>
    <t>Sales</t>
  </si>
  <si>
    <t>Payment Mode</t>
  </si>
  <si>
    <t>ORD001</t>
  </si>
  <si>
    <t>Priya Sharma</t>
  </si>
  <si>
    <t>Ranchi</t>
  </si>
  <si>
    <t>Laptop</t>
  </si>
  <si>
    <t>Electronics</t>
  </si>
  <si>
    <t>UPI</t>
  </si>
  <si>
    <t>ORD002</t>
  </si>
  <si>
    <t>Rahul Kumar</t>
  </si>
  <si>
    <t>Mouse</t>
  </si>
  <si>
    <t>Accessories</t>
  </si>
  <si>
    <t>Cash</t>
  </si>
  <si>
    <t>ORD003</t>
  </si>
  <si>
    <t>Anjali Singh</t>
  </si>
  <si>
    <t>Jamshedpur</t>
  </si>
  <si>
    <t>Keyboard</t>
  </si>
  <si>
    <t>ORD004</t>
  </si>
  <si>
    <t>Aman Verma</t>
  </si>
  <si>
    <t>Monitor</t>
  </si>
  <si>
    <t>Card</t>
  </si>
  <si>
    <t>ORD005</t>
  </si>
  <si>
    <t>Neha Gupta</t>
  </si>
  <si>
    <t>ORD006</t>
  </si>
  <si>
    <t>Rohit Das</t>
  </si>
  <si>
    <t>Bokaro</t>
  </si>
  <si>
    <t>Headphones</t>
  </si>
  <si>
    <t>ORD007</t>
  </si>
  <si>
    <t>Sneha Roy</t>
  </si>
  <si>
    <t>ORD008</t>
  </si>
  <si>
    <t>Vikas Singh</t>
  </si>
  <si>
    <t>ORD009</t>
  </si>
  <si>
    <t>ORD010</t>
  </si>
  <si>
    <t>Ankit Kumar</t>
  </si>
  <si>
    <t>ORD011</t>
  </si>
  <si>
    <t>ORD012</t>
  </si>
  <si>
    <t>ORD013</t>
  </si>
  <si>
    <t>ORD014</t>
  </si>
  <si>
    <t>ORD015</t>
  </si>
  <si>
    <t>ORD016</t>
  </si>
  <si>
    <t>ORD017</t>
  </si>
  <si>
    <t>ORD018</t>
  </si>
  <si>
    <t>ORD019</t>
  </si>
  <si>
    <t>ORD020</t>
  </si>
  <si>
    <t>ranchi</t>
  </si>
  <si>
    <t>JAMSHEDPUR</t>
  </si>
  <si>
    <t xml:space="preserve">                                    Priya Sharma</t>
  </si>
  <si>
    <t>Anjali     Singh</t>
  </si>
  <si>
    <t>upi</t>
  </si>
  <si>
    <t>card</t>
  </si>
  <si>
    <t>Clean Customer Name</t>
  </si>
  <si>
    <t>Clean City</t>
  </si>
  <si>
    <t>Unknown Customer</t>
  </si>
  <si>
    <t>Row Labels</t>
  </si>
  <si>
    <t>Grand Total</t>
  </si>
  <si>
    <t>Sum of Sales</t>
  </si>
  <si>
    <t>Sum of Quantity</t>
  </si>
  <si>
    <t>TOTAL SALES</t>
  </si>
  <si>
    <t>TOTAL ORDERS</t>
  </si>
  <si>
    <t>TOTAL QUANTITY</t>
  </si>
  <si>
    <t>AVERAGE ORDER VALUE</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</si>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</sst>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3" formatCode="&quot;₹&quot;\ #,##0.00"/>
    <numFmt numFmtId="175" formatCode="&quot;₹&quot;\ #,##0"/>
  </numFmts>
  <fonts count="3" x14ac:knownFonts="1">
    <font>
      <sz val="11"/>
      <color theme="1"/>
      <name val="Calibri"/>
      <family val="2"/>
      <scheme val="minor"/>
    </font>
    <font>
      <sz val="8"/>
      <name val="Calibri"/>
      <family val="2"/>
      <scheme val="minor"/>
    </font>
    <font>
      <b/>
      <sz val="20"/>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21">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xf>
    <xf numFmtId="0" fontId="2" fillId="0" borderId="0" xfId="0" applyFont="1" applyAlignment="1"/>
    <xf numFmtId="0" fontId="0" fillId="0" borderId="0" xfId="0" applyBorder="1"/>
    <xf numFmtId="0" fontId="0" fillId="0" borderId="1" xfId="0" applyBorder="1" applyAlignment="1">
      <alignment horizontal="center"/>
    </xf>
    <xf numFmtId="0" fontId="0" fillId="0" borderId="2" xfId="0" applyBorder="1" applyAlignment="1"/>
    <xf numFmtId="0" fontId="0" fillId="0" borderId="4" xfId="0" applyBorder="1" applyAlignment="1">
      <alignment horizontal="center"/>
    </xf>
    <xf numFmtId="175" fontId="0" fillId="0" borderId="4" xfId="0" applyNumberFormat="1" applyBorder="1" applyAlignment="1">
      <alignment horizontal="center"/>
    </xf>
    <xf numFmtId="0" fontId="0" fillId="0" borderId="3" xfId="0" applyBorder="1" applyAlignment="1"/>
    <xf numFmtId="0" fontId="0" fillId="0" borderId="0" xfId="0" applyAlignment="1">
      <alignment horizontal="left" indent="2"/>
    </xf>
    <xf numFmtId="0" fontId="0" fillId="0" borderId="5" xfId="0" applyBorder="1" applyAlignment="1"/>
    <xf numFmtId="0" fontId="0" fillId="0" borderId="6" xfId="0" applyBorder="1" applyAlignment="1"/>
    <xf numFmtId="173" fontId="0" fillId="0" borderId="5" xfId="0" applyNumberFormat="1" applyBorder="1" applyAlignment="1">
      <alignment horizontal="center"/>
    </xf>
    <xf numFmtId="173" fontId="0" fillId="0" borderId="6" xfId="0" applyNumberFormat="1" applyBorder="1" applyAlignment="1">
      <alignment horizontal="center"/>
    </xf>
    <xf numFmtId="173" fontId="0" fillId="0" borderId="3" xfId="0" applyNumberFormat="1" applyBorder="1" applyAlignment="1">
      <alignment horizontal="center"/>
    </xf>
    <xf numFmtId="173" fontId="0" fillId="0" borderId="2" xfId="0" applyNumberFormat="1" applyBorder="1" applyAlignment="1">
      <alignment horizontal="center"/>
    </xf>
  </cellXfs>
  <cellStyles count="1">
    <cellStyle name="Normal" xfId="0" builtinId="0"/>
  </cellStyles>
  <dxfs count="2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[Sales_Data_Cleaning_Sample.xlsx]Sales Summary!PivotTable1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City-wise Sales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Summary'!$B$3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Summary'!$A$4:$A$7</c:f>
              <c:strCache>
                <c:ptCount val="3"/>
                <c:pt idx="0">
                  <c:v>Bokaro</c:v>
                </c:pt>
                <c:pt idx="1">
                  <c:v>Jamshedpur</c:v>
                </c:pt>
                <c:pt idx="2">
                  <c:v>ranchi</c:v>
                </c:pt>
              </c:strCache>
            </c:strRef>
          </c:cat>
          <c:val>
            <c:numRef>
              <c:f>'Sales Summary'!$B$4:$B$7</c:f>
              <c:numCache>
                <c:formatCode>General</c:formatCode>
                <c:ptCount val="3"/>
                <c:pt idx="0">
                  <c:v>23100</c:v>
                </c:pt>
                <c:pt idx="1">
                  <c:v>130400</c:v>
                </c:pt>
                <c:pt idx="2">
                  <c:v>202800</c:v>
                </c:pt>
              </c:numCache>
            </c:numRef>
          </c:val>
          <c:extLst>
            <c:ext xmlns:c16="http://schemas.microsoft.com/office/drawing/2014/chart" uri="{C3380CC4-5D6E-409C-BE32-E72D297353CC}">
              <c16:uniqueId val="{00000000-4017-45C7-84CE-884283154FD7}"/>
            </c:ext>
          </c:extLst>
        </c:ser>
        <c:dLbls>
          <c:showLegendKey val="0"/>
          <c:showVal val="0"/>
          <c:showCatName val="0"/>
          <c:showSerName val="0"/>
          <c:showPercent val="0"/>
          <c:showBubbleSize val="0"/>
        </c:dLbls>
        <c:gapWidth val="219"/>
        <c:overlap val="-27"/>
        <c:axId val="1149368304"/>
        <c:axId val="1149360144"/>
      </c:barChart>
      <c:catAx>
        <c:axId val="114936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60144"/>
        <c:crosses val="autoZero"/>
        <c:auto val="1"/>
        <c:lblAlgn val="ctr"/>
        <c:lblOffset val="100"/>
        <c:noMultiLvlLbl val="0"/>
      </c:catAx>
      <c:valAx>
        <c:axId val="114936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6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[Sales_Data_Cleaning_Sample.xlsx]Sales Summary!PivotTable2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Category-wise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Summary'!$B$9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Summary'!$A$10:$A$12</c:f>
              <c:strCache>
                <c:ptCount val="2"/>
                <c:pt idx="0">
                  <c:v>Accessories</c:v>
                </c:pt>
                <c:pt idx="1">
                  <c:v>Electronics</c:v>
                </c:pt>
              </c:strCache>
            </c:strRef>
          </c:cat>
          <c:val>
            <c:numRef>
              <c:f>'Sales Summary'!$B$10:$B$12</c:f>
              <c:numCache>
                <c:formatCode>General</c:formatCode>
                <c:ptCount val="2"/>
                <c:pt idx="0">
                  <c:v>21300</c:v>
                </c:pt>
                <c:pt idx="1">
                  <c:v>335000</c:v>
                </c:pt>
              </c:numCache>
            </c:numRef>
          </c:val>
          <c:extLst>
            <c:ext xmlns:c16="http://schemas.microsoft.com/office/drawing/2014/chart" uri="{C3380CC4-5D6E-409C-BE32-E72D297353CC}">
              <c16:uniqueId val="{00000000-7680-4296-9247-83768769A286}"/>
            </c:ext>
          </c:extLst>
        </c:ser>
        <c:dLbls>
          <c:showLegendKey val="0"/>
          <c:showVal val="0"/>
          <c:showCatName val="0"/>
          <c:showSerName val="0"/>
          <c:showPercent val="0"/>
          <c:showBubbleSize val="0"/>
        </c:dLbls>
        <c:gapWidth val="219"/>
        <c:overlap val="-27"/>
        <c:axId val="1149359184"/>
        <c:axId val="1149362064"/>
      </c:barChart>
      <c:catAx>
        <c:axId val="114935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62064"/>
        <c:crosses val="autoZero"/>
        <c:auto val="1"/>
        <c:lblAlgn val="ctr"/>
        <c:lblOffset val="100"/>
        <c:noMultiLvlLbl val="0"/>
      </c:catAx>
      <c:valAx>
        <c:axId val="11493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5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[Sales_Data_Cleaning_Sample.xlsx]Sales Summary!PivotTable4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US" b="1"/>
          </a:p>
        </c:rich>
      </c:tx>
      <c:layout>
        <c:manualLayout>
          <c:xMode val="edge"/>
          <c:yMode val="edge"/>
          <c:x val="0.31056074766355141"/>
          <c:y val="4.9200492004920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00728530429025E-2"/>
          <c:y val="0.2281057810578106"/>
          <c:w val="0.89106188829200084"/>
          <c:h val="0.6292234457777649"/>
        </c:manualLayout>
      </c:layout>
      <c:barChart>
        <c:barDir val="col"/>
        <c:grouping val="clustered"/>
        <c:varyColors val="0"/>
        <c:ser>
          <c:idx val="0"/>
          <c:order val="0"/>
          <c:tx>
            <c:strRef>
              <c:f>'Sales Summary'!$B$14</c:f>
              <c:strCache>
                <c:ptCount val="1"/>
                <c:pt idx="0">
                  <c:v>Total</c:v>
                </c:pt>
              </c:strCache>
            </c:strRef>
          </c:tx>
          <c:spPr>
            <a:solidFill>
              <a:schemeClr val="accent6"/>
            </a:solidFill>
            <a:ln>
              <a:noFill/>
            </a:ln>
            <a:effectLst/>
          </c:spPr>
          <c:invertIfNegative val="0"/>
          <c:cat>
            <c:strRef>
              <c:f>'Sales Summary'!$A$15:$A$20</c:f>
              <c:strCache>
                <c:ptCount val="5"/>
                <c:pt idx="0">
                  <c:v>Headphones</c:v>
                </c:pt>
                <c:pt idx="1">
                  <c:v>Keyboard</c:v>
                </c:pt>
                <c:pt idx="2">
                  <c:v>Laptop</c:v>
                </c:pt>
                <c:pt idx="3">
                  <c:v>Monitor</c:v>
                </c:pt>
                <c:pt idx="4">
                  <c:v>Mouse</c:v>
                </c:pt>
              </c:strCache>
            </c:strRef>
          </c:cat>
          <c:val>
            <c:numRef>
              <c:f>'Sales Summary'!$B$15:$B$20</c:f>
              <c:numCache>
                <c:formatCode>General</c:formatCode>
                <c:ptCount val="5"/>
                <c:pt idx="0">
                  <c:v>5</c:v>
                </c:pt>
                <c:pt idx="1">
                  <c:v>5</c:v>
                </c:pt>
                <c:pt idx="2">
                  <c:v>5</c:v>
                </c:pt>
                <c:pt idx="3">
                  <c:v>4</c:v>
                </c:pt>
                <c:pt idx="4">
                  <c:v>8</c:v>
                </c:pt>
              </c:numCache>
            </c:numRef>
          </c:val>
          <c:extLst>
            <c:ext xmlns:c16="http://schemas.microsoft.com/office/drawing/2014/chart" uri="{C3380CC4-5D6E-409C-BE32-E72D297353CC}">
              <c16:uniqueId val="{00000000-D1F7-443D-BAE5-866C7554CD96}"/>
            </c:ext>
          </c:extLst>
        </c:ser>
        <c:dLbls>
          <c:showLegendKey val="0"/>
          <c:showVal val="0"/>
          <c:showCatName val="0"/>
          <c:showSerName val="0"/>
          <c:showPercent val="0"/>
          <c:showBubbleSize val="0"/>
        </c:dLbls>
        <c:gapWidth val="219"/>
        <c:overlap val="-27"/>
        <c:axId val="873533232"/>
        <c:axId val="873349920"/>
      </c:barChart>
      <c:catAx>
        <c:axId val="87353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49920"/>
        <c:crosses val="autoZero"/>
        <c:auto val="1"/>
        <c:lblAlgn val="ctr"/>
        <c:lblOffset val="100"/>
        <c:noMultiLvlLbl val="0"/>
      </c:catAx>
      <c:valAx>
        <c:axId val="87334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3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22860</xdr:colOff>
      <xdr:row>6</xdr:row>
      <xdr:rowOff>15240</xdr:rowOff>
    </xdr:from>
    <xdr:to>
      <xdr:col>4</xdr:col>
      <xdr:colOff>419100</xdr:colOff>
      <xdr:row>16</xdr:row>
      <xdr:rowOff>0</xdr:rowOff>
    </xdr:to>
    <xdr:graphicFrame macro="">
      <xdr:nvGraphicFramePr>
        <xdr:cNvPr id="6" name="Chart 5">
          <a:extLst>
            <a:ext uri="{FF2B5EF4-FFF2-40B4-BE49-F238E27FC236}">
              <a16:creationId xmlns:a16="http://schemas.microsoft.com/office/drawing/2014/main" id="{0E8B4D21-423E-460E-BA70-D6187D14A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6</xdr:row>
      <xdr:rowOff>0</xdr:rowOff>
    </xdr:from>
    <xdr:to>
      <xdr:col>10</xdr:col>
      <xdr:colOff>289560</xdr:colOff>
      <xdr:row>16</xdr:row>
      <xdr:rowOff>0</xdr:rowOff>
    </xdr:to>
    <xdr:graphicFrame macro="">
      <xdr:nvGraphicFramePr>
        <xdr:cNvPr id="7" name="Chart 6">
          <a:extLst>
            <a:ext uri="{FF2B5EF4-FFF2-40B4-BE49-F238E27FC236}">
              <a16:creationId xmlns:a16="http://schemas.microsoft.com/office/drawing/2014/main" id="{B2A13A0D-9AAA-48C1-A831-5DAA2F547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502920</xdr:colOff>
      <xdr:row>16</xdr:row>
      <xdr:rowOff>68580</xdr:rowOff>
    </xdr:from>
    <xdr:to>
      <xdr:col>4</xdr:col>
      <xdr:colOff>594360</xdr:colOff>
      <xdr:row>26</xdr:row>
      <xdr:rowOff>68580</xdr:rowOff>
    </xdr:to>
    <xdr:graphicFrame macro="">
      <xdr:nvGraphicFramePr>
        <xdr:cNvPr id="8" name="Chart 7">
          <a:extLst>
            <a:ext uri="{FF2B5EF4-FFF2-40B4-BE49-F238E27FC236}">
              <a16:creationId xmlns:a16="http://schemas.microsoft.com/office/drawing/2014/main" id="{5BFBEE69-0215-4E8A-9499-3C33E8853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198120</xdr:colOff>
      <xdr:row>2</xdr:row>
      <xdr:rowOff>114301</xdr:rowOff>
    </xdr:from>
    <xdr:to>
      <xdr:col>15</xdr:col>
      <xdr:colOff>198120</xdr:colOff>
      <xdr:row>9</xdr:row>
      <xdr:rowOff>38101</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7BADCB2E-706E-3A5E-CC4E-9C2FDA194DB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458200" y="62484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9</xdr:row>
      <xdr:rowOff>22861</xdr:rowOff>
    </xdr:from>
    <xdr:to>
      <xdr:col>15</xdr:col>
      <xdr:colOff>198120</xdr:colOff>
      <xdr:row>14</xdr:row>
      <xdr:rowOff>15241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A98E57D-5BF1-2559-6DD2-92D7A1D4D1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58200" y="181356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14</xdr:row>
      <xdr:rowOff>1</xdr:rowOff>
    </xdr:from>
    <xdr:to>
      <xdr:col>15</xdr:col>
      <xdr:colOff>198120</xdr:colOff>
      <xdr:row>20</xdr:row>
      <xdr:rowOff>99061</xdr:rowOff>
    </xdr:to>
    <mc:AlternateContent xmlns:mc="http://schemas.openxmlformats.org/markup-compatibility/2006">
      <mc:Choice xmlns:a14="http://schemas.microsoft.com/office/drawing/2010/main" Requires="a14">
        <xdr:graphicFrame macro="">
          <xdr:nvGraphicFramePr>
            <xdr:cNvPr id="11" name="Payment Mode">
              <a:extLst>
                <a:ext uri="{FF2B5EF4-FFF2-40B4-BE49-F238E27FC236}">
                  <a16:creationId xmlns:a16="http://schemas.microsoft.com/office/drawing/2014/main" id="{6FD805D3-135F-0539-346C-BF6FDD961B8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8458200" y="270510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205740</xdr:colOff>
      <xdr:row>18</xdr:row>
      <xdr:rowOff>38100</xdr:rowOff>
    </xdr:from>
    <xdr:ext cx="4107180" cy="1371600"/>
    <xdr:sp macro="" textlink="">
      <xdr:nvSpPr>
        <xdr:cNvPr id="13" name="TextBox 12">
          <a:extLst>
            <a:ext uri="{FF2B5EF4-FFF2-40B4-BE49-F238E27FC236}">
              <a16:creationId xmlns:a16="http://schemas.microsoft.com/office/drawing/2014/main" id="{24487CCD-1D44-4CEC-337B-D05CB36150A7}"/>
            </a:ext>
          </a:extLst>
        </xdr:cNvPr>
        <xdr:cNvSpPr txBox="1"/>
      </xdr:nvSpPr>
      <xdr:spPr>
        <a:xfrm>
          <a:off x="4183380" y="3474720"/>
          <a:ext cx="4107180" cy="137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KEY BUSINESS INSIGHTS</a:t>
          </a:r>
        </a:p>
        <a:p>
          <a:r>
            <a:rPr lang="en-IN" sz="1400"/>
            <a:t>• Electronics contributes significantly to total sales.</a:t>
          </a:r>
          <a:endParaRPr lang="en-IN" sz="1400" b="1" kern="1200"/>
        </a:p>
        <a:p>
          <a:r>
            <a:rPr lang="en-IN" sz="1400"/>
            <a:t>• Ranchi generates a large share of overall sales.</a:t>
          </a:r>
        </a:p>
        <a:p>
          <a:r>
            <a:rPr lang="en-IN" sz="1400"/>
            <a:t>•Sales increased in February compared with January.</a:t>
          </a:r>
          <a:endParaRPr lang="en-IN" sz="1400" b="1" kern="1200"/>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ed%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eaned 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ja Kumari" refreshedDate="46285.63367974537" createdVersion="8" refreshedVersion="8" minRefreshableVersion="3" recordCount="20" xr:uid="{1A9C4C65-FCF4-4944-964C-BEF0CCE74729}">
  <cacheSource type="worksheet">
    <worksheetSource name="Table14"/>
  </cacheSource>
  <cacheFields count="9">
    <cacheField name="Order ID" numFmtId="0">
      <sharedItems/>
    </cacheField>
    <cacheField name="Order Date" numFmtId="14">
      <sharedItems containsSemiMixedTypes="0" containsNonDate="0" containsDate="1" containsString="0" minDate="2026-01-12T00:00:00" maxDate="2026-03-03T00:00:00"/>
    </cacheField>
    <cacheField name="Customer Name" numFmtId="0">
      <sharedItems/>
    </cacheField>
    <cacheField name="City" numFmtId="0">
      <sharedItems count="3">
        <s v="ranchi"/>
        <s v="Jamshedpur"/>
        <s v="Bokaro"/>
      </sharedItems>
    </cacheField>
    <cacheField name="Product" numFmtId="0">
      <sharedItems count="5">
        <s v="Laptop"/>
        <s v="Mouse"/>
        <s v="Keyboard"/>
        <s v="Monitor"/>
        <s v="Headphones"/>
      </sharedItems>
    </cacheField>
    <cacheField name="Category" numFmtId="0">
      <sharedItems count="2">
        <s v="Electronics"/>
        <s v="Accessories"/>
      </sharedItems>
    </cacheField>
    <cacheField name="Quantity" numFmtId="0">
      <sharedItems containsSemiMixedTypes="0" containsString="0" containsNumber="1" containsInteger="1" minValue="1" maxValue="3"/>
    </cacheField>
    <cacheField name="Sales" numFmtId="0">
      <sharedItems containsSemiMixedTypes="0" containsString="0" containsNumber="1" containsInteger="1" minValue="600" maxValue="55000"/>
    </cacheField>
    <cacheField name="Payment Mode" numFmtId="0">
      <sharedItems count="3">
        <s v="upi"/>
        <s v="Cash"/>
        <s v="card"/>
      </sharedItems>
    </cacheField>
  </cacheFields>
  <extLst>
    <ext xmlns:x14="http://schemas.microsoft.com/office/spreadsheetml/2009/9/main" uri="{725AE2AE-9491-48be-B2B4-4EB974FC3084}">
      <x14:pivotCacheDefinition pivotCacheId="1799035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001"/>
    <d v="2026-01-12T00:00:00"/>
    <s v="                                    Priya Sharma"/>
    <x v="0"/>
    <x v="0"/>
    <x v="0"/>
    <n v="1"/>
    <n v="55000"/>
    <x v="0"/>
  </r>
  <r>
    <s v="ORD002"/>
    <d v="2026-01-13T00:00:00"/>
    <s v="Rahul Kumar"/>
    <x v="0"/>
    <x v="1"/>
    <x v="1"/>
    <n v="2"/>
    <n v="1200"/>
    <x v="1"/>
  </r>
  <r>
    <s v="ORD003"/>
    <d v="2026-01-15T00:00:00"/>
    <s v="Anjali     Singh"/>
    <x v="1"/>
    <x v="2"/>
    <x v="1"/>
    <n v="1"/>
    <n v="1800"/>
    <x v="0"/>
  </r>
  <r>
    <s v="ORD004"/>
    <d v="2026-01-18T00:00:00"/>
    <s v="Aman Verma"/>
    <x v="1"/>
    <x v="3"/>
    <x v="0"/>
    <n v="1"/>
    <n v="15000"/>
    <x v="2"/>
  </r>
  <r>
    <s v="ORD005"/>
    <d v="2026-01-20T00:00:00"/>
    <s v="Neha Gupta"/>
    <x v="0"/>
    <x v="0"/>
    <x v="0"/>
    <n v="1"/>
    <n v="55000"/>
    <x v="0"/>
  </r>
  <r>
    <s v="ORD006"/>
    <d v="2026-01-22T00:00:00"/>
    <s v="Rohit Das"/>
    <x v="2"/>
    <x v="4"/>
    <x v="1"/>
    <n v="2"/>
    <n v="3000"/>
    <x v="1"/>
  </r>
  <r>
    <s v="ORD007"/>
    <d v="2026-01-25T00:00:00"/>
    <s v="Sneha Roy"/>
    <x v="2"/>
    <x v="2"/>
    <x v="1"/>
    <n v="2"/>
    <n v="3600"/>
    <x v="0"/>
  </r>
  <r>
    <s v="ORD008"/>
    <d v="2026-01-28T00:00:00"/>
    <s v="Unknown Customer"/>
    <x v="0"/>
    <x v="3"/>
    <x v="0"/>
    <n v="1"/>
    <n v="15000"/>
    <x v="2"/>
  </r>
  <r>
    <s v="ORD009"/>
    <d v="2026-02-02T00:00:00"/>
    <s v="Priya Sharma"/>
    <x v="0"/>
    <x v="1"/>
    <x v="1"/>
    <n v="1"/>
    <n v="600"/>
    <x v="0"/>
  </r>
  <r>
    <s v="ORD010"/>
    <d v="2026-02-05T00:00:00"/>
    <s v="Ankit Kumar"/>
    <x v="1"/>
    <x v="0"/>
    <x v="0"/>
    <n v="1"/>
    <n v="55000"/>
    <x v="2"/>
  </r>
  <r>
    <s v="ORD011"/>
    <d v="2026-02-08T00:00:00"/>
    <s v="Neha Gupta"/>
    <x v="0"/>
    <x v="2"/>
    <x v="1"/>
    <n v="1"/>
    <n v="1800"/>
    <x v="0"/>
  </r>
  <r>
    <s v="ORD012"/>
    <d v="2026-02-10T00:00:00"/>
    <s v="Rohit Das"/>
    <x v="2"/>
    <x v="4"/>
    <x v="1"/>
    <n v="1"/>
    <n v="1500"/>
    <x v="1"/>
  </r>
  <r>
    <s v="ORD013"/>
    <d v="2026-02-12T00:00:00"/>
    <s v="Sneha Roy"/>
    <x v="2"/>
    <x v="3"/>
    <x v="0"/>
    <n v="1"/>
    <n v="15000"/>
    <x v="0"/>
  </r>
  <r>
    <s v="ORD014"/>
    <d v="2026-02-15T00:00:00"/>
    <s v="Vikas Singh"/>
    <x v="0"/>
    <x v="0"/>
    <x v="0"/>
    <n v="1"/>
    <n v="55000"/>
    <x v="2"/>
  </r>
  <r>
    <s v="ORD015"/>
    <d v="2026-02-18T00:00:00"/>
    <s v="Anjali Singh"/>
    <x v="1"/>
    <x v="1"/>
    <x v="1"/>
    <n v="3"/>
    <n v="1800"/>
    <x v="0"/>
  </r>
  <r>
    <s v="ORD016"/>
    <d v="2026-02-20T00:00:00"/>
    <s v="Aman Verma"/>
    <x v="1"/>
    <x v="2"/>
    <x v="1"/>
    <n v="1"/>
    <n v="1800"/>
    <x v="1"/>
  </r>
  <r>
    <s v="ORD017"/>
    <d v="2026-02-22T00:00:00"/>
    <s v="Rahul Kumar"/>
    <x v="0"/>
    <x v="3"/>
    <x v="0"/>
    <n v="1"/>
    <n v="15000"/>
    <x v="0"/>
  </r>
  <r>
    <s v="ORD018"/>
    <d v="2026-02-25T00:00:00"/>
    <s v="Priya Sharma"/>
    <x v="0"/>
    <x v="4"/>
    <x v="1"/>
    <n v="2"/>
    <n v="3000"/>
    <x v="2"/>
  </r>
  <r>
    <s v="ORD019"/>
    <d v="2026-02-28T00:00:00"/>
    <s v="Ankit Kumar"/>
    <x v="1"/>
    <x v="0"/>
    <x v="0"/>
    <n v="1"/>
    <n v="55000"/>
    <x v="0"/>
  </r>
  <r>
    <s v="ORD020"/>
    <d v="2026-03-02T00:00:00"/>
    <s v="Neha Gupta"/>
    <x v="0"/>
    <x v="1"/>
    <x v="1"/>
    <n v="2"/>
    <n v="1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F52E83-9749-44ED-A707-E8E514DDA49F}"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0" firstHeaderRow="1" firstDataRow="1" firstDataCol="1"/>
  <pivotFields count="9">
    <pivotField showAll="0"/>
    <pivotField numFmtId="14" showAll="0"/>
    <pivotField showAll="0"/>
    <pivotField showAll="0">
      <items count="4">
        <item x="2"/>
        <item x="1"/>
        <item x="0"/>
        <item t="default"/>
      </items>
    </pivotField>
    <pivotField axis="axisRow" showAll="0">
      <items count="6">
        <item x="4"/>
        <item x="2"/>
        <item x="0"/>
        <item x="3"/>
        <item x="1"/>
        <item t="default"/>
      </items>
    </pivotField>
    <pivotField showAll="0">
      <items count="3">
        <item x="1"/>
        <item x="0"/>
        <item t="default"/>
      </items>
    </pivotField>
    <pivotField dataField="1" showAll="0"/>
    <pivotField showAll="0"/>
    <pivotField showAll="0"/>
  </pivotFields>
  <rowFields count="1">
    <field x="4"/>
  </rowFields>
  <rowItems count="6">
    <i>
      <x/>
    </i>
    <i>
      <x v="1"/>
    </i>
    <i>
      <x v="2"/>
    </i>
    <i>
      <x v="3"/>
    </i>
    <i>
      <x v="4"/>
    </i>
    <i t="grand">
      <x/>
    </i>
  </rowItems>
  <colItems count="1">
    <i/>
  </colItems>
  <dataFields count="1">
    <dataField name="Sum of Quantit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4B46F7-F9AD-494E-A77D-CE0A83BEE9F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12" firstHeaderRow="1" firstDataRow="1" firstDataCol="1"/>
  <pivotFields count="9">
    <pivotField showAll="0"/>
    <pivotField numFmtId="14" showAll="0"/>
    <pivotField showAll="0"/>
    <pivotField showAll="0">
      <items count="4">
        <item x="2"/>
        <item x="1"/>
        <item x="0"/>
        <item t="default"/>
      </items>
    </pivotField>
    <pivotField showAll="0"/>
    <pivotField axis="axisRow" showAll="0">
      <items count="3">
        <item x="1"/>
        <item x="0"/>
        <item t="default"/>
      </items>
    </pivotField>
    <pivotField showAll="0"/>
    <pivotField dataField="1" showAll="0"/>
    <pivotField showAll="0"/>
  </pivotFields>
  <rowFields count="1">
    <field x="5"/>
  </rowFields>
  <rowItems count="3">
    <i>
      <x/>
    </i>
    <i>
      <x v="1"/>
    </i>
    <i t="grand">
      <x/>
    </i>
  </rowItems>
  <colItems count="1">
    <i/>
  </colItems>
  <dataFields count="1">
    <dataField name="Sum of Sales" fld="7" baseField="5"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13692-1E11-427C-BF42-434E5D42258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9">
    <pivotField showAll="0"/>
    <pivotField numFmtId="14" showAll="0"/>
    <pivotField showAll="0"/>
    <pivotField axis="axisRow" showAll="0">
      <items count="4">
        <item x="2"/>
        <item x="1"/>
        <item x="0"/>
        <item t="default"/>
      </items>
    </pivotField>
    <pivotField showAll="0"/>
    <pivotField showAll="0">
      <items count="3">
        <item x="1"/>
        <item x="0"/>
        <item t="default"/>
      </items>
    </pivotField>
    <pivotField showAll="0"/>
    <pivotField dataField="1" showAll="0"/>
    <pivotField showAll="0">
      <items count="4">
        <item x="2"/>
        <item x="1"/>
        <item x="0"/>
        <item t="default"/>
      </items>
    </pivotField>
  </pivotFields>
  <rowFields count="1">
    <field x="3"/>
  </rowFields>
  <rowItems count="4">
    <i>
      <x/>
    </i>
    <i>
      <x v="1"/>
    </i>
    <i>
      <x v="2"/>
    </i>
    <i t="grand">
      <x/>
    </i>
  </rowItems>
  <colItems count="1">
    <i/>
  </colItems>
  <dataFields count="1">
    <dataField name="Sum of Sales"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85FAB85-4814-4717-B5DA-7177E8986C76}" sourceName="City">
  <pivotTables>
    <pivotTable tabId="4" name="PivotTable1"/>
  </pivotTables>
  <data>
    <tabular pivotCacheId="17990356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F40FA4-FA33-4BAD-A162-77A9314FE84D}" sourceName="Category">
  <pivotTables>
    <pivotTable tabId="4" name="PivotTable1"/>
  </pivotTables>
  <data>
    <tabular pivotCacheId="17990356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08227FB-7FC7-4909-A689-9FF9E82C47BC}" sourceName="Payment Mode">
  <pivotTables>
    <pivotTable tabId="4" name="PivotTable1"/>
  </pivotTables>
  <data>
    <tabular pivotCacheId="179903564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F3A7F63-A026-4589-878C-27ECC2DC4C3C}" cache="Slicer_City" caption="City" rowHeight="234950"/>
  <slicer name="Category" xr10:uid="{FADFFC1F-7C9D-456A-ADBE-7AD4DCD27821}" cache="Slicer_Category" caption="Category" rowHeight="234950"/>
  <slicer name="Payment Mode" xr10:uid="{75DCD7D7-F926-440E-9CE2-A0F6D823D84F}" cache="Slicer_Payment_Mode" caption="Payment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012E8F-F580-4479-B992-B8BE79E16660}" name="Table1" displayName="Table1" ref="A1:I22" totalsRowShown="0" headerRowDxfId="11" dataDxfId="12">
  <autoFilter ref="A1:I22" xr:uid="{17012E8F-F580-4479-B992-B8BE79E16660}"/>
  <tableColumns count="9">
    <tableColumn id="1" xr3:uid="{CAA79452-F072-4C26-830B-9D6B53695418}" name="Order ID" dataDxfId="21"/>
    <tableColumn id="2" xr3:uid="{89D4D51C-997C-41C9-ABC9-595F08F6C678}" name="Order Date" dataDxfId="20"/>
    <tableColumn id="3" xr3:uid="{D8126778-7DE7-4ADF-AD18-5E8C9FB61A27}" name="Customer Name" dataDxfId="19"/>
    <tableColumn id="4" xr3:uid="{B59E68EB-DC65-4016-8066-8F89D068962D}" name="City" dataDxfId="18"/>
    <tableColumn id="5" xr3:uid="{859F5C2F-BEED-4DA6-B4AC-9AC6390E30E0}" name="Product" dataDxfId="17"/>
    <tableColumn id="6" xr3:uid="{819C926B-D1CD-48E9-8EB9-80B8663A1E81}" name="Category" dataDxfId="16"/>
    <tableColumn id="7" xr3:uid="{305DD693-7B0A-482A-9207-F01385F2167D}" name="Quantity" dataDxfId="15"/>
    <tableColumn id="8" xr3:uid="{CE66723A-513A-4480-B46A-563D634542CA}" name="Sales" dataDxfId="14"/>
    <tableColumn id="9" xr3:uid="{CDBE76B0-CDE5-4A78-889C-159DC993C5D1}" name="Payment Mode"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76983D-169F-44FC-8A11-C1D970C9B7B1}" name="Table14" displayName="Table14" ref="A1:I21" totalsRowShown="0" headerRowDxfId="10" dataDxfId="9">
  <autoFilter ref="A1:I21" xr:uid="{7576983D-169F-44FC-8A11-C1D970C9B7B1}"/>
  <tableColumns count="9">
    <tableColumn id="1" xr3:uid="{D16DBDCF-D18B-4324-9D53-D58B824395DD}" name="Order ID" dataDxfId="8"/>
    <tableColumn id="2" xr3:uid="{9F738617-BD36-4B93-B083-E460CD024CDE}" name="Order Date" dataDxfId="7"/>
    <tableColumn id="3" xr3:uid="{4C56D1BA-1D71-47C7-ACD1-F42B08B64368}" name="Customer Name" dataDxfId="6"/>
    <tableColumn id="4" xr3:uid="{6E69BB6C-7579-4E61-9C59-ECFEAA3B41D7}" name="City" dataDxfId="5"/>
    <tableColumn id="5" xr3:uid="{AFEC9EDD-F523-4A83-8855-84DDB12C77DE}" name="Product" dataDxfId="4"/>
    <tableColumn id="6" xr3:uid="{64487579-05CD-4D3F-88E0-C40D49FA711C}" name="Category" dataDxfId="3"/>
    <tableColumn id="7" xr3:uid="{B1F258E0-EB34-49D1-BBCC-CB84D736157F}" name="Quantity" dataDxfId="2"/>
    <tableColumn id="8" xr3:uid="{37877719-E2EF-4068-9694-5E95E2E0FB29}" name="Sales" dataDxfId="1"/>
    <tableColumn id="9" xr3:uid="{D5A51521-4DE4-4BB3-89FD-0C00FF419DA0}" name="Payment Mo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3F65-1770-403E-9E00-744CA32E1059}">
  <dimension ref="A1:K22"/>
  <sheetViews>
    <sheetView workbookViewId="0">
      <selection sqref="A1:I22"/>
    </sheetView>
  </sheetViews>
  <sheetFormatPr defaultRowHeight="14.4" x14ac:dyDescent="0.3"/>
  <cols>
    <col min="1" max="1" width="11.109375" customWidth="1"/>
    <col min="2" max="2" width="13.109375" customWidth="1"/>
    <col min="3" max="3" width="30.5546875" customWidth="1"/>
    <col min="4" max="4" width="24.33203125" customWidth="1"/>
    <col min="5" max="5" width="28.21875" customWidth="1"/>
    <col min="6" max="6" width="17" customWidth="1"/>
    <col min="7" max="7" width="16.6640625" customWidth="1"/>
    <col min="8" max="8" width="13.33203125" customWidth="1"/>
    <col min="9" max="9" width="15.88671875" customWidth="1"/>
    <col min="11" max="11" width="13" customWidth="1"/>
  </cols>
  <sheetData>
    <row r="1" spans="1:11" x14ac:dyDescent="0.3">
      <c r="A1" s="1" t="s">
        <v>0</v>
      </c>
      <c r="B1" s="1" t="s">
        <v>1</v>
      </c>
      <c r="C1" s="1" t="s">
        <v>2</v>
      </c>
      <c r="D1" s="1" t="s">
        <v>3</v>
      </c>
      <c r="E1" s="1" t="s">
        <v>4</v>
      </c>
      <c r="F1" s="1" t="s">
        <v>5</v>
      </c>
      <c r="G1" s="1" t="s">
        <v>6</v>
      </c>
      <c r="H1" s="1" t="s">
        <v>7</v>
      </c>
      <c r="I1" s="1" t="s">
        <v>8</v>
      </c>
      <c r="K1">
        <f>COUNTA(A2:A22)</f>
        <v>21</v>
      </c>
    </row>
    <row r="2" spans="1:11" x14ac:dyDescent="0.3">
      <c r="A2" s="1" t="s">
        <v>9</v>
      </c>
      <c r="B2" s="2">
        <v>46034</v>
      </c>
      <c r="C2" s="1" t="s">
        <v>53</v>
      </c>
      <c r="D2" s="1" t="s">
        <v>51</v>
      </c>
      <c r="E2" s="1" t="s">
        <v>12</v>
      </c>
      <c r="F2" s="1" t="s">
        <v>13</v>
      </c>
      <c r="G2" s="1">
        <v>1</v>
      </c>
      <c r="H2" s="1">
        <v>55000</v>
      </c>
      <c r="I2" s="1" t="s">
        <v>55</v>
      </c>
    </row>
    <row r="3" spans="1:11" x14ac:dyDescent="0.3">
      <c r="A3" s="1" t="s">
        <v>15</v>
      </c>
      <c r="B3" s="2">
        <v>46035</v>
      </c>
      <c r="C3" s="1" t="s">
        <v>16</v>
      </c>
      <c r="D3" s="1" t="s">
        <v>11</v>
      </c>
      <c r="E3" s="1" t="s">
        <v>17</v>
      </c>
      <c r="F3" s="1" t="s">
        <v>18</v>
      </c>
      <c r="G3" s="1">
        <v>2</v>
      </c>
      <c r="H3" s="1">
        <v>1200</v>
      </c>
      <c r="I3" s="1" t="s">
        <v>19</v>
      </c>
      <c r="K3">
        <f>COUNTA(_xlfn.UNIQUE(A2:A22))</f>
        <v>20</v>
      </c>
    </row>
    <row r="4" spans="1:11" x14ac:dyDescent="0.3">
      <c r="A4" s="1" t="s">
        <v>20</v>
      </c>
      <c r="B4" s="2">
        <v>46037</v>
      </c>
      <c r="C4" s="1" t="s">
        <v>54</v>
      </c>
      <c r="D4" s="1" t="s">
        <v>22</v>
      </c>
      <c r="E4" s="1" t="s">
        <v>23</v>
      </c>
      <c r="F4" s="1" t="s">
        <v>18</v>
      </c>
      <c r="G4" s="1">
        <v>1</v>
      </c>
      <c r="H4" s="1">
        <v>1800</v>
      </c>
      <c r="I4" s="1" t="s">
        <v>14</v>
      </c>
    </row>
    <row r="5" spans="1:11" x14ac:dyDescent="0.3">
      <c r="A5" s="1" t="s">
        <v>24</v>
      </c>
      <c r="B5" s="2">
        <v>46040</v>
      </c>
      <c r="C5" s="1" t="s">
        <v>25</v>
      </c>
      <c r="D5" s="1" t="s">
        <v>52</v>
      </c>
      <c r="E5" s="1" t="s">
        <v>26</v>
      </c>
      <c r="F5" s="1" t="s">
        <v>13</v>
      </c>
      <c r="G5" s="1">
        <v>1</v>
      </c>
      <c r="H5" s="1">
        <v>15000</v>
      </c>
      <c r="I5" s="1" t="s">
        <v>56</v>
      </c>
    </row>
    <row r="6" spans="1:11" x14ac:dyDescent="0.3">
      <c r="A6" s="1" t="s">
        <v>28</v>
      </c>
      <c r="B6" s="2">
        <v>46042</v>
      </c>
      <c r="C6" s="1" t="s">
        <v>29</v>
      </c>
      <c r="D6" s="1" t="s">
        <v>11</v>
      </c>
      <c r="E6" s="1" t="s">
        <v>12</v>
      </c>
      <c r="F6" s="1" t="s">
        <v>13</v>
      </c>
      <c r="G6" s="1">
        <v>1</v>
      </c>
      <c r="H6" s="1">
        <v>55000</v>
      </c>
      <c r="I6" s="1" t="s">
        <v>14</v>
      </c>
    </row>
    <row r="7" spans="1:11" x14ac:dyDescent="0.3">
      <c r="A7" s="1" t="s">
        <v>30</v>
      </c>
      <c r="B7" s="2">
        <v>46044</v>
      </c>
      <c r="C7" s="1" t="s">
        <v>31</v>
      </c>
      <c r="D7" s="1" t="s">
        <v>32</v>
      </c>
      <c r="E7" s="1" t="s">
        <v>33</v>
      </c>
      <c r="F7" s="1" t="s">
        <v>18</v>
      </c>
      <c r="G7" s="1">
        <v>2</v>
      </c>
      <c r="H7" s="1">
        <v>3000</v>
      </c>
      <c r="I7" s="1" t="s">
        <v>19</v>
      </c>
    </row>
    <row r="8" spans="1:11" x14ac:dyDescent="0.3">
      <c r="A8" s="1" t="s">
        <v>34</v>
      </c>
      <c r="B8" s="2">
        <v>46047</v>
      </c>
      <c r="C8" s="1" t="s">
        <v>35</v>
      </c>
      <c r="D8" s="1" t="s">
        <v>32</v>
      </c>
      <c r="E8" s="1" t="s">
        <v>23</v>
      </c>
      <c r="F8" s="1" t="s">
        <v>18</v>
      </c>
      <c r="G8" s="1">
        <v>2</v>
      </c>
      <c r="H8" s="1">
        <v>3600</v>
      </c>
      <c r="I8" s="1" t="s">
        <v>14</v>
      </c>
    </row>
    <row r="9" spans="1:11" x14ac:dyDescent="0.3">
      <c r="A9" s="1" t="s">
        <v>36</v>
      </c>
      <c r="B9" s="2">
        <v>46050</v>
      </c>
      <c r="C9" s="1"/>
      <c r="D9" s="1" t="s">
        <v>11</v>
      </c>
      <c r="E9" s="1" t="s">
        <v>26</v>
      </c>
      <c r="F9" s="1" t="s">
        <v>13</v>
      </c>
      <c r="G9" s="1">
        <v>1</v>
      </c>
      <c r="H9" s="1">
        <v>15000</v>
      </c>
      <c r="I9" s="1" t="s">
        <v>27</v>
      </c>
    </row>
    <row r="10" spans="1:11" x14ac:dyDescent="0.3">
      <c r="A10" s="1" t="s">
        <v>38</v>
      </c>
      <c r="B10" s="2">
        <v>46055</v>
      </c>
      <c r="C10" s="1" t="s">
        <v>10</v>
      </c>
      <c r="D10" s="1" t="s">
        <v>11</v>
      </c>
      <c r="E10" s="1" t="s">
        <v>17</v>
      </c>
      <c r="F10" s="1" t="s">
        <v>18</v>
      </c>
      <c r="G10" s="1">
        <v>1</v>
      </c>
      <c r="H10" s="1">
        <v>600</v>
      </c>
      <c r="I10" s="1" t="s">
        <v>14</v>
      </c>
    </row>
    <row r="11" spans="1:11" x14ac:dyDescent="0.3">
      <c r="A11" s="1" t="s">
        <v>39</v>
      </c>
      <c r="B11" s="2">
        <v>46058</v>
      </c>
      <c r="C11" s="1" t="s">
        <v>40</v>
      </c>
      <c r="D11" s="1" t="s">
        <v>22</v>
      </c>
      <c r="E11" s="1" t="s">
        <v>12</v>
      </c>
      <c r="F11" s="1" t="s">
        <v>13</v>
      </c>
      <c r="G11" s="1">
        <v>1</v>
      </c>
      <c r="H11" s="1">
        <v>55000</v>
      </c>
      <c r="I11" s="1" t="s">
        <v>27</v>
      </c>
    </row>
    <row r="12" spans="1:11" x14ac:dyDescent="0.3">
      <c r="A12" s="1" t="s">
        <v>41</v>
      </c>
      <c r="B12" s="2">
        <v>46061</v>
      </c>
      <c r="C12" s="1" t="s">
        <v>29</v>
      </c>
      <c r="D12" s="1" t="s">
        <v>11</v>
      </c>
      <c r="E12" s="1" t="s">
        <v>23</v>
      </c>
      <c r="F12" s="1" t="s">
        <v>18</v>
      </c>
      <c r="G12" s="1">
        <v>1</v>
      </c>
      <c r="H12" s="1">
        <v>1800</v>
      </c>
      <c r="I12" s="1" t="s">
        <v>14</v>
      </c>
    </row>
    <row r="13" spans="1:11" x14ac:dyDescent="0.3">
      <c r="A13" s="1" t="s">
        <v>42</v>
      </c>
      <c r="B13" s="2">
        <v>46063</v>
      </c>
      <c r="C13" s="1" t="s">
        <v>31</v>
      </c>
      <c r="D13" s="1" t="s">
        <v>32</v>
      </c>
      <c r="E13" s="1" t="s">
        <v>33</v>
      </c>
      <c r="F13" s="1" t="s">
        <v>18</v>
      </c>
      <c r="G13" s="1">
        <v>1</v>
      </c>
      <c r="H13" s="1">
        <v>1500</v>
      </c>
      <c r="I13" s="1" t="s">
        <v>19</v>
      </c>
    </row>
    <row r="14" spans="1:11" x14ac:dyDescent="0.3">
      <c r="A14" s="1" t="s">
        <v>43</v>
      </c>
      <c r="B14" s="2">
        <v>46065</v>
      </c>
      <c r="C14" s="1" t="s">
        <v>35</v>
      </c>
      <c r="D14" s="1" t="s">
        <v>32</v>
      </c>
      <c r="E14" s="1" t="s">
        <v>26</v>
      </c>
      <c r="F14" s="1" t="s">
        <v>13</v>
      </c>
      <c r="G14" s="1">
        <v>1</v>
      </c>
      <c r="H14" s="1">
        <v>15000</v>
      </c>
      <c r="I14" s="1" t="s">
        <v>14</v>
      </c>
    </row>
    <row r="15" spans="1:11" x14ac:dyDescent="0.3">
      <c r="A15" s="1" t="s">
        <v>44</v>
      </c>
      <c r="B15" s="2">
        <v>46068</v>
      </c>
      <c r="C15" s="1" t="s">
        <v>44</v>
      </c>
      <c r="D15" s="2">
        <v>46068</v>
      </c>
      <c r="E15" s="1" t="s">
        <v>37</v>
      </c>
      <c r="F15" s="1" t="s">
        <v>51</v>
      </c>
      <c r="G15" s="1" t="s">
        <v>12</v>
      </c>
      <c r="H15" s="1" t="s">
        <v>13</v>
      </c>
      <c r="I15" s="1">
        <v>1</v>
      </c>
      <c r="J15" s="1">
        <v>55000</v>
      </c>
      <c r="K15" s="1" t="s">
        <v>27</v>
      </c>
    </row>
    <row r="16" spans="1:11" x14ac:dyDescent="0.3">
      <c r="A16" s="1" t="s">
        <v>45</v>
      </c>
      <c r="B16" s="2">
        <v>46071</v>
      </c>
      <c r="C16" s="1" t="s">
        <v>21</v>
      </c>
      <c r="D16" s="1" t="s">
        <v>22</v>
      </c>
      <c r="E16" s="1" t="s">
        <v>17</v>
      </c>
      <c r="F16" s="1" t="s">
        <v>18</v>
      </c>
      <c r="G16" s="1">
        <v>3</v>
      </c>
      <c r="H16" s="1">
        <v>1800</v>
      </c>
      <c r="I16" s="1" t="s">
        <v>14</v>
      </c>
    </row>
    <row r="17" spans="1:9" x14ac:dyDescent="0.3">
      <c r="A17" s="1" t="s">
        <v>46</v>
      </c>
      <c r="B17" s="2">
        <v>46073</v>
      </c>
      <c r="C17" s="1" t="s">
        <v>25</v>
      </c>
      <c r="D17" s="1" t="s">
        <v>52</v>
      </c>
      <c r="E17" s="1" t="s">
        <v>23</v>
      </c>
      <c r="F17" s="1" t="s">
        <v>18</v>
      </c>
      <c r="G17" s="1">
        <v>1</v>
      </c>
      <c r="H17" s="1">
        <v>1800</v>
      </c>
      <c r="I17" s="1" t="s">
        <v>19</v>
      </c>
    </row>
    <row r="18" spans="1:9" x14ac:dyDescent="0.3">
      <c r="A18" s="1" t="s">
        <v>47</v>
      </c>
      <c r="B18" s="2">
        <v>46075</v>
      </c>
      <c r="C18" s="1" t="s">
        <v>16</v>
      </c>
      <c r="D18" s="1" t="s">
        <v>11</v>
      </c>
      <c r="E18" s="1" t="s">
        <v>26</v>
      </c>
      <c r="F18" s="1" t="s">
        <v>13</v>
      </c>
      <c r="G18" s="1">
        <v>1</v>
      </c>
      <c r="H18" s="1">
        <v>15000</v>
      </c>
      <c r="I18" s="1" t="s">
        <v>14</v>
      </c>
    </row>
    <row r="19" spans="1:9" x14ac:dyDescent="0.3">
      <c r="A19" s="1" t="s">
        <v>48</v>
      </c>
      <c r="B19" s="2">
        <v>46078</v>
      </c>
      <c r="C19" s="1" t="s">
        <v>10</v>
      </c>
      <c r="D19" s="1" t="s">
        <v>11</v>
      </c>
      <c r="E19" s="1" t="s">
        <v>33</v>
      </c>
      <c r="F19" s="1" t="s">
        <v>18</v>
      </c>
      <c r="G19" s="1">
        <v>2</v>
      </c>
      <c r="H19" s="1">
        <v>3000</v>
      </c>
      <c r="I19" s="1" t="s">
        <v>27</v>
      </c>
    </row>
    <row r="20" spans="1:9" x14ac:dyDescent="0.3">
      <c r="A20" s="1" t="s">
        <v>49</v>
      </c>
      <c r="B20" s="2">
        <v>46081</v>
      </c>
      <c r="C20" s="1" t="s">
        <v>40</v>
      </c>
      <c r="D20" s="1" t="s">
        <v>22</v>
      </c>
      <c r="E20" s="1" t="s">
        <v>12</v>
      </c>
      <c r="F20" s="1" t="s">
        <v>13</v>
      </c>
      <c r="G20" s="1">
        <v>1</v>
      </c>
      <c r="H20" s="1">
        <v>55000</v>
      </c>
      <c r="I20" s="1" t="s">
        <v>14</v>
      </c>
    </row>
    <row r="21" spans="1:9" x14ac:dyDescent="0.3">
      <c r="A21" s="1" t="s">
        <v>50</v>
      </c>
      <c r="B21" s="2">
        <v>46083</v>
      </c>
      <c r="C21" s="1" t="s">
        <v>29</v>
      </c>
      <c r="D21" s="1" t="s">
        <v>11</v>
      </c>
      <c r="E21" s="1" t="s">
        <v>17</v>
      </c>
      <c r="F21" s="1" t="s">
        <v>18</v>
      </c>
      <c r="G21" s="1">
        <v>2</v>
      </c>
      <c r="H21" s="1">
        <v>1200</v>
      </c>
      <c r="I21" s="1" t="s">
        <v>19</v>
      </c>
    </row>
    <row r="22" spans="1:9" x14ac:dyDescent="0.3">
      <c r="A22" s="1" t="s">
        <v>44</v>
      </c>
      <c r="B22" s="2">
        <v>46068</v>
      </c>
      <c r="C22" s="1" t="s">
        <v>37</v>
      </c>
      <c r="D22" s="1" t="s">
        <v>51</v>
      </c>
      <c r="E22" s="1" t="s">
        <v>12</v>
      </c>
      <c r="F22" s="1" t="s">
        <v>13</v>
      </c>
      <c r="G22" s="1">
        <v>1</v>
      </c>
      <c r="H22" s="1">
        <v>55000</v>
      </c>
      <c r="I22" s="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EBFBD-B10D-418C-B329-BB7E5C98C2BB}">
  <dimension ref="A1:P22"/>
  <sheetViews>
    <sheetView workbookViewId="0">
      <selection activeCell="F20" sqref="A2:I21"/>
    </sheetView>
  </sheetViews>
  <sheetFormatPr defaultRowHeight="14.4" x14ac:dyDescent="0.3"/>
  <cols>
    <col min="1" max="1" width="12.44140625" bestFit="1" customWidth="1"/>
    <col min="2" max="2" width="14.5546875" bestFit="1" customWidth="1"/>
    <col min="3" max="3" width="28" bestFit="1" customWidth="1"/>
    <col min="4" max="4" width="12.21875" bestFit="1" customWidth="1"/>
    <col min="5" max="5" width="12.109375" bestFit="1" customWidth="1"/>
    <col min="6" max="6" width="13" bestFit="1" customWidth="1"/>
    <col min="7" max="7" width="12.77734375" bestFit="1" customWidth="1"/>
    <col min="8" max="8" width="9.88671875" bestFit="1" customWidth="1"/>
    <col min="9" max="9" width="18.5546875" bestFit="1" customWidth="1"/>
    <col min="11" max="11" width="19.6640625" customWidth="1"/>
    <col min="12" max="12" width="18.21875" customWidth="1"/>
    <col min="13" max="13" width="18.33203125" customWidth="1"/>
  </cols>
  <sheetData>
    <row r="1" spans="1:16" x14ac:dyDescent="0.3">
      <c r="A1" s="1" t="s">
        <v>0</v>
      </c>
      <c r="B1" s="1" t="s">
        <v>1</v>
      </c>
      <c r="C1" s="1" t="s">
        <v>2</v>
      </c>
      <c r="D1" s="1" t="s">
        <v>3</v>
      </c>
      <c r="E1" s="1" t="s">
        <v>4</v>
      </c>
      <c r="F1" s="1" t="s">
        <v>5</v>
      </c>
      <c r="G1" s="1" t="s">
        <v>6</v>
      </c>
      <c r="H1" s="1" t="s">
        <v>7</v>
      </c>
      <c r="I1" s="1" t="s">
        <v>8</v>
      </c>
      <c r="J1" s="1"/>
      <c r="K1" s="1" t="s">
        <v>57</v>
      </c>
      <c r="L1" s="1" t="s">
        <v>58</v>
      </c>
      <c r="M1" s="1" t="str">
        <f>UPPER(TRIM(I2))</f>
        <v>UPI</v>
      </c>
      <c r="N1" s="1"/>
      <c r="O1" s="1"/>
      <c r="P1" s="1"/>
    </row>
    <row r="2" spans="1:16" x14ac:dyDescent="0.3">
      <c r="A2" s="1" t="s">
        <v>9</v>
      </c>
      <c r="B2" s="2">
        <v>46034</v>
      </c>
      <c r="C2" s="1" t="s">
        <v>53</v>
      </c>
      <c r="D2" s="1" t="s">
        <v>51</v>
      </c>
      <c r="E2" s="1" t="s">
        <v>12</v>
      </c>
      <c r="F2" s="1" t="s">
        <v>13</v>
      </c>
      <c r="G2" s="1">
        <v>1</v>
      </c>
      <c r="H2" s="1">
        <v>55000</v>
      </c>
      <c r="I2" s="1" t="s">
        <v>55</v>
      </c>
      <c r="J2" s="1"/>
      <c r="K2" s="1" t="str">
        <f>TRIM(C2)</f>
        <v>Priya Sharma</v>
      </c>
      <c r="L2" s="1" t="str">
        <f>PROPER(TRIM(D2))</f>
        <v>Ranchi</v>
      </c>
      <c r="M2" s="1" t="str">
        <f t="shared" ref="M2:M22" si="0">UPPER(TRIM(I3))</f>
        <v>CASH</v>
      </c>
      <c r="N2" s="1"/>
      <c r="O2" s="1"/>
      <c r="P2" s="1"/>
    </row>
    <row r="3" spans="1:16" x14ac:dyDescent="0.3">
      <c r="A3" s="1" t="s">
        <v>15</v>
      </c>
      <c r="B3" s="2">
        <v>46035</v>
      </c>
      <c r="C3" s="1" t="s">
        <v>16</v>
      </c>
      <c r="D3" s="1" t="s">
        <v>11</v>
      </c>
      <c r="E3" s="1" t="s">
        <v>17</v>
      </c>
      <c r="F3" s="1" t="s">
        <v>18</v>
      </c>
      <c r="G3" s="1">
        <v>2</v>
      </c>
      <c r="H3" s="1">
        <v>1200</v>
      </c>
      <c r="I3" s="1" t="s">
        <v>19</v>
      </c>
      <c r="J3" s="1"/>
      <c r="K3" s="1" t="str">
        <f t="shared" ref="K3:K22" si="1">TRIM(C3)</f>
        <v>Rahul Kumar</v>
      </c>
      <c r="L3" s="1" t="str">
        <f t="shared" ref="L3:L22" si="2">PROPER(TRIM(D3))</f>
        <v>Ranchi</v>
      </c>
      <c r="M3" s="1" t="str">
        <f t="shared" si="0"/>
        <v>UPI</v>
      </c>
      <c r="N3" s="1"/>
      <c r="O3" s="1"/>
      <c r="P3" s="1"/>
    </row>
    <row r="4" spans="1:16" x14ac:dyDescent="0.3">
      <c r="A4" s="1" t="s">
        <v>20</v>
      </c>
      <c r="B4" s="2">
        <v>46037</v>
      </c>
      <c r="C4" s="1" t="s">
        <v>54</v>
      </c>
      <c r="D4" s="1" t="s">
        <v>22</v>
      </c>
      <c r="E4" s="1" t="s">
        <v>23</v>
      </c>
      <c r="F4" s="1" t="s">
        <v>18</v>
      </c>
      <c r="G4" s="1">
        <v>1</v>
      </c>
      <c r="H4" s="1">
        <v>1800</v>
      </c>
      <c r="I4" s="1" t="s">
        <v>14</v>
      </c>
      <c r="J4" s="1"/>
      <c r="K4" s="1" t="str">
        <f t="shared" si="1"/>
        <v>Anjali Singh</v>
      </c>
      <c r="L4" s="1" t="str">
        <f t="shared" si="2"/>
        <v>Jamshedpur</v>
      </c>
      <c r="M4" s="1" t="str">
        <f t="shared" si="0"/>
        <v>CARD</v>
      </c>
      <c r="N4" s="1"/>
      <c r="O4" s="1"/>
      <c r="P4" s="1"/>
    </row>
    <row r="5" spans="1:16" x14ac:dyDescent="0.3">
      <c r="A5" s="1" t="s">
        <v>24</v>
      </c>
      <c r="B5" s="2">
        <v>46040</v>
      </c>
      <c r="C5" s="1" t="s">
        <v>25</v>
      </c>
      <c r="D5" s="1" t="s">
        <v>52</v>
      </c>
      <c r="E5" s="1" t="s">
        <v>26</v>
      </c>
      <c r="F5" s="1" t="s">
        <v>13</v>
      </c>
      <c r="G5" s="1">
        <v>1</v>
      </c>
      <c r="H5" s="1">
        <v>15000</v>
      </c>
      <c r="I5" s="1" t="s">
        <v>56</v>
      </c>
      <c r="J5" s="1"/>
      <c r="K5" s="1" t="str">
        <f t="shared" si="1"/>
        <v>Aman Verma</v>
      </c>
      <c r="L5" s="1" t="str">
        <f t="shared" si="2"/>
        <v>Jamshedpur</v>
      </c>
      <c r="M5" s="1" t="str">
        <f t="shared" si="0"/>
        <v>UPI</v>
      </c>
      <c r="N5" s="1"/>
      <c r="O5" s="1"/>
      <c r="P5" s="1"/>
    </row>
    <row r="6" spans="1:16" x14ac:dyDescent="0.3">
      <c r="A6" s="1" t="s">
        <v>28</v>
      </c>
      <c r="B6" s="2">
        <v>46042</v>
      </c>
      <c r="C6" s="1" t="s">
        <v>29</v>
      </c>
      <c r="D6" s="1" t="s">
        <v>11</v>
      </c>
      <c r="E6" s="1" t="s">
        <v>12</v>
      </c>
      <c r="F6" s="1" t="s">
        <v>13</v>
      </c>
      <c r="G6" s="1">
        <v>1</v>
      </c>
      <c r="H6" s="1">
        <v>55000</v>
      </c>
      <c r="I6" s="1" t="s">
        <v>14</v>
      </c>
      <c r="J6" s="1"/>
      <c r="K6" s="1" t="str">
        <f t="shared" si="1"/>
        <v>Neha Gupta</v>
      </c>
      <c r="L6" s="1" t="str">
        <f t="shared" si="2"/>
        <v>Ranchi</v>
      </c>
      <c r="M6" s="1" t="str">
        <f t="shared" si="0"/>
        <v>CASH</v>
      </c>
      <c r="N6" s="1"/>
      <c r="O6" s="1"/>
      <c r="P6" s="1"/>
    </row>
    <row r="7" spans="1:16" x14ac:dyDescent="0.3">
      <c r="A7" s="1" t="s">
        <v>30</v>
      </c>
      <c r="B7" s="2">
        <v>46044</v>
      </c>
      <c r="C7" s="1" t="s">
        <v>31</v>
      </c>
      <c r="D7" s="1" t="s">
        <v>32</v>
      </c>
      <c r="E7" s="1" t="s">
        <v>33</v>
      </c>
      <c r="F7" s="1" t="s">
        <v>18</v>
      </c>
      <c r="G7" s="1">
        <v>2</v>
      </c>
      <c r="H7" s="1">
        <v>3000</v>
      </c>
      <c r="I7" s="1" t="s">
        <v>19</v>
      </c>
      <c r="J7" s="1"/>
      <c r="K7" s="1" t="str">
        <f t="shared" si="1"/>
        <v>Rohit Das</v>
      </c>
      <c r="L7" s="1" t="str">
        <f t="shared" si="2"/>
        <v>Bokaro</v>
      </c>
      <c r="M7" s="1" t="str">
        <f t="shared" si="0"/>
        <v>UPI</v>
      </c>
      <c r="N7" s="1"/>
      <c r="O7" s="1"/>
      <c r="P7" s="1"/>
    </row>
    <row r="8" spans="1:16" x14ac:dyDescent="0.3">
      <c r="A8" s="1" t="s">
        <v>34</v>
      </c>
      <c r="B8" s="2">
        <v>46047</v>
      </c>
      <c r="C8" s="1" t="s">
        <v>35</v>
      </c>
      <c r="D8" s="1" t="s">
        <v>32</v>
      </c>
      <c r="E8" s="1" t="s">
        <v>23</v>
      </c>
      <c r="F8" s="1" t="s">
        <v>18</v>
      </c>
      <c r="G8" s="1">
        <v>2</v>
      </c>
      <c r="H8" s="1">
        <v>3600</v>
      </c>
      <c r="I8" s="1" t="s">
        <v>14</v>
      </c>
      <c r="J8" s="1"/>
      <c r="K8" s="1" t="str">
        <f t="shared" si="1"/>
        <v>Sneha Roy</v>
      </c>
      <c r="L8" s="1" t="str">
        <f t="shared" si="2"/>
        <v>Bokaro</v>
      </c>
      <c r="M8" s="1" t="str">
        <f t="shared" si="0"/>
        <v>CARD</v>
      </c>
      <c r="N8" s="1"/>
      <c r="O8" s="1"/>
      <c r="P8" s="1"/>
    </row>
    <row r="9" spans="1:16" x14ac:dyDescent="0.3">
      <c r="A9" s="1" t="s">
        <v>36</v>
      </c>
      <c r="B9" s="2">
        <v>46050</v>
      </c>
      <c r="C9" s="1" t="s">
        <v>59</v>
      </c>
      <c r="D9" s="1" t="s">
        <v>11</v>
      </c>
      <c r="E9" s="1" t="s">
        <v>26</v>
      </c>
      <c r="F9" s="1" t="s">
        <v>13</v>
      </c>
      <c r="G9" s="1">
        <v>1</v>
      </c>
      <c r="H9" s="1">
        <v>15000</v>
      </c>
      <c r="I9" s="1" t="s">
        <v>27</v>
      </c>
      <c r="J9" s="1"/>
      <c r="K9" s="1" t="str">
        <f t="shared" si="1"/>
        <v>Unknown Customer</v>
      </c>
      <c r="L9" s="1" t="str">
        <f t="shared" si="2"/>
        <v>Ranchi</v>
      </c>
      <c r="M9" s="1" t="str">
        <f t="shared" si="0"/>
        <v>UPI</v>
      </c>
      <c r="N9" s="1"/>
      <c r="O9" s="1"/>
      <c r="P9" s="1"/>
    </row>
    <row r="10" spans="1:16" x14ac:dyDescent="0.3">
      <c r="A10" s="1" t="s">
        <v>38</v>
      </c>
      <c r="B10" s="2">
        <v>46055</v>
      </c>
      <c r="C10" s="1" t="s">
        <v>10</v>
      </c>
      <c r="D10" s="1" t="s">
        <v>11</v>
      </c>
      <c r="E10" s="1" t="s">
        <v>17</v>
      </c>
      <c r="F10" s="1" t="s">
        <v>18</v>
      </c>
      <c r="G10" s="1">
        <v>1</v>
      </c>
      <c r="H10" s="1">
        <v>600</v>
      </c>
      <c r="I10" s="1" t="s">
        <v>14</v>
      </c>
      <c r="J10" s="1"/>
      <c r="K10" s="1" t="str">
        <f t="shared" si="1"/>
        <v>Priya Sharma</v>
      </c>
      <c r="L10" s="1" t="str">
        <f t="shared" si="2"/>
        <v>Ranchi</v>
      </c>
      <c r="M10" s="1" t="str">
        <f t="shared" si="0"/>
        <v>CARD</v>
      </c>
      <c r="N10" s="1"/>
      <c r="O10" s="1"/>
      <c r="P10" s="1"/>
    </row>
    <row r="11" spans="1:16" x14ac:dyDescent="0.3">
      <c r="A11" s="1" t="s">
        <v>39</v>
      </c>
      <c r="B11" s="2">
        <v>46058</v>
      </c>
      <c r="C11" s="1" t="s">
        <v>40</v>
      </c>
      <c r="D11" s="1" t="s">
        <v>22</v>
      </c>
      <c r="E11" s="1" t="s">
        <v>12</v>
      </c>
      <c r="F11" s="1" t="s">
        <v>13</v>
      </c>
      <c r="G11" s="1">
        <v>1</v>
      </c>
      <c r="H11" s="1">
        <v>55000</v>
      </c>
      <c r="I11" s="1" t="s">
        <v>27</v>
      </c>
      <c r="J11" s="1"/>
      <c r="K11" s="1" t="str">
        <f t="shared" si="1"/>
        <v>Ankit Kumar</v>
      </c>
      <c r="L11" s="1" t="str">
        <f t="shared" si="2"/>
        <v>Jamshedpur</v>
      </c>
      <c r="M11" s="1" t="str">
        <f t="shared" si="0"/>
        <v>UPI</v>
      </c>
      <c r="N11" s="1"/>
      <c r="O11" s="1"/>
      <c r="P11" s="1"/>
    </row>
    <row r="12" spans="1:16" x14ac:dyDescent="0.3">
      <c r="A12" s="1" t="s">
        <v>41</v>
      </c>
      <c r="B12" s="2">
        <v>46061</v>
      </c>
      <c r="C12" s="1" t="s">
        <v>29</v>
      </c>
      <c r="D12" s="1" t="s">
        <v>11</v>
      </c>
      <c r="E12" s="1" t="s">
        <v>23</v>
      </c>
      <c r="F12" s="1" t="s">
        <v>18</v>
      </c>
      <c r="G12" s="1">
        <v>1</v>
      </c>
      <c r="H12" s="1">
        <v>1800</v>
      </c>
      <c r="I12" s="1" t="s">
        <v>14</v>
      </c>
      <c r="J12" s="1"/>
      <c r="K12" s="1" t="str">
        <f t="shared" si="1"/>
        <v>Neha Gupta</v>
      </c>
      <c r="L12" s="1" t="str">
        <f t="shared" si="2"/>
        <v>Ranchi</v>
      </c>
      <c r="M12" s="1" t="str">
        <f t="shared" si="0"/>
        <v>CASH</v>
      </c>
      <c r="N12" s="1"/>
      <c r="O12" s="1"/>
      <c r="P12" s="1"/>
    </row>
    <row r="13" spans="1:16" x14ac:dyDescent="0.3">
      <c r="A13" s="1" t="s">
        <v>42</v>
      </c>
      <c r="B13" s="2">
        <v>46063</v>
      </c>
      <c r="C13" s="1" t="s">
        <v>31</v>
      </c>
      <c r="D13" s="1" t="s">
        <v>32</v>
      </c>
      <c r="E13" s="1" t="s">
        <v>33</v>
      </c>
      <c r="F13" s="1" t="s">
        <v>18</v>
      </c>
      <c r="G13" s="1">
        <v>1</v>
      </c>
      <c r="H13" s="1">
        <v>1500</v>
      </c>
      <c r="I13" s="1" t="s">
        <v>19</v>
      </c>
      <c r="J13" s="1"/>
      <c r="K13" s="1" t="str">
        <f t="shared" si="1"/>
        <v>Rohit Das</v>
      </c>
      <c r="L13" s="1" t="str">
        <f t="shared" si="2"/>
        <v>Bokaro</v>
      </c>
      <c r="M13" s="1" t="str">
        <f t="shared" si="0"/>
        <v>UPI</v>
      </c>
      <c r="N13" s="1"/>
      <c r="O13" s="1"/>
      <c r="P13" s="1"/>
    </row>
    <row r="14" spans="1:16" x14ac:dyDescent="0.3">
      <c r="A14" s="1" t="s">
        <v>43</v>
      </c>
      <c r="B14" s="2">
        <v>46065</v>
      </c>
      <c r="C14" s="1" t="s">
        <v>35</v>
      </c>
      <c r="D14" s="1" t="s">
        <v>32</v>
      </c>
      <c r="E14" s="1" t="s">
        <v>26</v>
      </c>
      <c r="F14" s="1" t="s">
        <v>13</v>
      </c>
      <c r="G14" s="1">
        <v>1</v>
      </c>
      <c r="H14" s="1">
        <v>15000</v>
      </c>
      <c r="I14" s="1" t="s">
        <v>14</v>
      </c>
      <c r="J14" s="1"/>
      <c r="K14" s="1" t="str">
        <f t="shared" si="1"/>
        <v>Sneha Roy</v>
      </c>
      <c r="L14" s="1" t="str">
        <f t="shared" si="2"/>
        <v>Bokaro</v>
      </c>
      <c r="M14" s="1" t="str">
        <f t="shared" si="0"/>
        <v>CARD</v>
      </c>
      <c r="N14" s="1"/>
      <c r="O14" s="1"/>
      <c r="P14" s="1"/>
    </row>
    <row r="15" spans="1:16" x14ac:dyDescent="0.3">
      <c r="A15" s="1" t="s">
        <v>44</v>
      </c>
      <c r="B15" s="2">
        <v>46068</v>
      </c>
      <c r="C15" s="1" t="s">
        <v>37</v>
      </c>
      <c r="D15" s="1" t="s">
        <v>51</v>
      </c>
      <c r="E15" s="1" t="s">
        <v>12</v>
      </c>
      <c r="F15" s="1" t="s">
        <v>13</v>
      </c>
      <c r="G15" s="1">
        <v>1</v>
      </c>
      <c r="H15" s="1">
        <v>55000</v>
      </c>
      <c r="I15" s="1" t="s">
        <v>27</v>
      </c>
      <c r="J15" s="1"/>
      <c r="K15" s="1" t="str">
        <f t="shared" si="1"/>
        <v>Vikas Singh</v>
      </c>
      <c r="L15" s="1" t="str">
        <f t="shared" si="2"/>
        <v>Ranchi</v>
      </c>
      <c r="M15" s="1" t="str">
        <f t="shared" si="0"/>
        <v>UPI</v>
      </c>
      <c r="N15" s="1"/>
      <c r="O15" s="1"/>
      <c r="P15" s="1"/>
    </row>
    <row r="16" spans="1:16" x14ac:dyDescent="0.3">
      <c r="A16" s="1" t="s">
        <v>45</v>
      </c>
      <c r="B16" s="2">
        <v>46071</v>
      </c>
      <c r="C16" s="1" t="s">
        <v>21</v>
      </c>
      <c r="D16" s="1" t="s">
        <v>22</v>
      </c>
      <c r="E16" s="1" t="s">
        <v>17</v>
      </c>
      <c r="F16" s="1" t="s">
        <v>18</v>
      </c>
      <c r="G16" s="1">
        <v>3</v>
      </c>
      <c r="H16" s="1">
        <v>1800</v>
      </c>
      <c r="I16" s="1" t="s">
        <v>14</v>
      </c>
      <c r="J16" s="1"/>
      <c r="K16" s="1" t="str">
        <f t="shared" si="1"/>
        <v>Anjali Singh</v>
      </c>
      <c r="L16" s="1" t="str">
        <f t="shared" si="2"/>
        <v>Jamshedpur</v>
      </c>
      <c r="M16" s="1" t="str">
        <f t="shared" si="0"/>
        <v>CASH</v>
      </c>
      <c r="N16" s="1"/>
      <c r="O16" s="1"/>
      <c r="P16" s="1"/>
    </row>
    <row r="17" spans="1:16" x14ac:dyDescent="0.3">
      <c r="A17" s="1" t="s">
        <v>46</v>
      </c>
      <c r="B17" s="2">
        <v>46073</v>
      </c>
      <c r="C17" s="1" t="s">
        <v>25</v>
      </c>
      <c r="D17" s="1" t="s">
        <v>52</v>
      </c>
      <c r="E17" s="1" t="s">
        <v>23</v>
      </c>
      <c r="F17" s="1" t="s">
        <v>18</v>
      </c>
      <c r="G17" s="1">
        <v>1</v>
      </c>
      <c r="H17" s="1">
        <v>1800</v>
      </c>
      <c r="I17" s="1" t="s">
        <v>19</v>
      </c>
      <c r="J17" s="1"/>
      <c r="K17" s="1" t="str">
        <f t="shared" si="1"/>
        <v>Aman Verma</v>
      </c>
      <c r="L17" s="1" t="str">
        <f t="shared" si="2"/>
        <v>Jamshedpur</v>
      </c>
      <c r="M17" s="1" t="str">
        <f t="shared" si="0"/>
        <v>UPI</v>
      </c>
      <c r="N17" s="1"/>
      <c r="O17" s="1"/>
      <c r="P17" s="1"/>
    </row>
    <row r="18" spans="1:16" x14ac:dyDescent="0.3">
      <c r="A18" s="1" t="s">
        <v>47</v>
      </c>
      <c r="B18" s="2">
        <v>46075</v>
      </c>
      <c r="C18" s="1" t="s">
        <v>16</v>
      </c>
      <c r="D18" s="1" t="s">
        <v>11</v>
      </c>
      <c r="E18" s="1" t="s">
        <v>26</v>
      </c>
      <c r="F18" s="1" t="s">
        <v>13</v>
      </c>
      <c r="G18" s="1">
        <v>1</v>
      </c>
      <c r="H18" s="1">
        <v>15000</v>
      </c>
      <c r="I18" s="1" t="s">
        <v>14</v>
      </c>
      <c r="J18" s="1"/>
      <c r="K18" s="1" t="str">
        <f t="shared" si="1"/>
        <v>Rahul Kumar</v>
      </c>
      <c r="L18" s="1" t="str">
        <f t="shared" si="2"/>
        <v>Ranchi</v>
      </c>
      <c r="M18" s="1" t="str">
        <f t="shared" si="0"/>
        <v>CARD</v>
      </c>
      <c r="N18" s="1"/>
      <c r="O18" s="1"/>
      <c r="P18" s="1"/>
    </row>
    <row r="19" spans="1:16" x14ac:dyDescent="0.3">
      <c r="A19" s="1" t="s">
        <v>48</v>
      </c>
      <c r="B19" s="2">
        <v>46078</v>
      </c>
      <c r="C19" s="1" t="s">
        <v>10</v>
      </c>
      <c r="D19" s="1" t="s">
        <v>11</v>
      </c>
      <c r="E19" s="1" t="s">
        <v>33</v>
      </c>
      <c r="F19" s="1" t="s">
        <v>18</v>
      </c>
      <c r="G19" s="1">
        <v>2</v>
      </c>
      <c r="H19" s="1">
        <v>3000</v>
      </c>
      <c r="I19" s="1" t="s">
        <v>27</v>
      </c>
      <c r="J19" s="1"/>
      <c r="K19" s="1" t="str">
        <f t="shared" si="1"/>
        <v>Priya Sharma</v>
      </c>
      <c r="L19" s="1" t="str">
        <f t="shared" si="2"/>
        <v>Ranchi</v>
      </c>
      <c r="M19" s="1" t="str">
        <f t="shared" si="0"/>
        <v>UPI</v>
      </c>
      <c r="N19" s="1"/>
      <c r="O19" s="1"/>
      <c r="P19" s="1"/>
    </row>
    <row r="20" spans="1:16" x14ac:dyDescent="0.3">
      <c r="A20" s="1" t="s">
        <v>49</v>
      </c>
      <c r="B20" s="2">
        <v>46081</v>
      </c>
      <c r="C20" s="1" t="s">
        <v>40</v>
      </c>
      <c r="D20" s="1" t="s">
        <v>22</v>
      </c>
      <c r="E20" s="1" t="s">
        <v>12</v>
      </c>
      <c r="F20" s="1" t="s">
        <v>13</v>
      </c>
      <c r="G20" s="1">
        <v>1</v>
      </c>
      <c r="H20" s="1">
        <v>55000</v>
      </c>
      <c r="I20" s="1" t="s">
        <v>14</v>
      </c>
      <c r="J20" s="1"/>
      <c r="K20" s="1" t="str">
        <f t="shared" si="1"/>
        <v>Ankit Kumar</v>
      </c>
      <c r="L20" s="1" t="str">
        <f t="shared" si="2"/>
        <v>Jamshedpur</v>
      </c>
      <c r="M20" s="1" t="str">
        <f t="shared" si="0"/>
        <v>CASH</v>
      </c>
      <c r="N20" s="1"/>
      <c r="O20" s="1"/>
      <c r="P20" s="1"/>
    </row>
    <row r="21" spans="1:16" x14ac:dyDescent="0.3">
      <c r="A21" s="1" t="s">
        <v>50</v>
      </c>
      <c r="B21" s="2">
        <v>46083</v>
      </c>
      <c r="C21" s="1" t="s">
        <v>29</v>
      </c>
      <c r="D21" s="1" t="s">
        <v>11</v>
      </c>
      <c r="E21" s="1" t="s">
        <v>17</v>
      </c>
      <c r="F21" s="1" t="s">
        <v>18</v>
      </c>
      <c r="G21" s="1">
        <v>2</v>
      </c>
      <c r="H21" s="1">
        <v>1200</v>
      </c>
      <c r="I21" s="1" t="s">
        <v>19</v>
      </c>
      <c r="J21" s="1"/>
      <c r="K21" s="1" t="str">
        <f t="shared" si="1"/>
        <v>Neha Gupta</v>
      </c>
      <c r="L21" s="1" t="str">
        <f t="shared" si="2"/>
        <v>Ranchi</v>
      </c>
      <c r="M21" s="1" t="str">
        <f t="shared" si="0"/>
        <v/>
      </c>
      <c r="N21" s="1"/>
      <c r="O21" s="1"/>
      <c r="P21" s="1"/>
    </row>
    <row r="22" spans="1:16" x14ac:dyDescent="0.3">
      <c r="J22" s="1"/>
      <c r="K22" s="1" t="str">
        <f t="shared" si="1"/>
        <v/>
      </c>
      <c r="L22" s="1" t="str">
        <f t="shared" si="2"/>
        <v/>
      </c>
      <c r="M22" s="1" t="str">
        <f t="shared" si="0"/>
        <v/>
      </c>
      <c r="N22" s="1"/>
      <c r="O22" s="1"/>
      <c r="P22" s="1"/>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20BAE-09B5-4B67-B794-8D6F248C15D4}">
  <dimension ref="A3:B20"/>
  <sheetViews>
    <sheetView workbookViewId="0">
      <selection activeCell="A10" sqref="A10:B11"/>
    </sheetView>
  </sheetViews>
  <sheetFormatPr defaultRowHeight="14.4" x14ac:dyDescent="0.3"/>
  <cols>
    <col min="1" max="1" width="12.5546875" bestFit="1" customWidth="1"/>
    <col min="2" max="2" width="11.6640625" bestFit="1" customWidth="1"/>
  </cols>
  <sheetData>
    <row r="3" spans="1:2" x14ac:dyDescent="0.3">
      <c r="A3" s="3" t="s">
        <v>60</v>
      </c>
      <c r="B3" t="s">
        <v>62</v>
      </c>
    </row>
    <row r="4" spans="1:2" x14ac:dyDescent="0.3">
      <c r="A4" s="4" t="s">
        <v>32</v>
      </c>
      <c r="B4" s="5">
        <v>23100</v>
      </c>
    </row>
    <row r="5" spans="1:2" x14ac:dyDescent="0.3">
      <c r="A5" s="4" t="s">
        <v>22</v>
      </c>
      <c r="B5" s="5">
        <v>130400</v>
      </c>
    </row>
    <row r="6" spans="1:2" x14ac:dyDescent="0.3">
      <c r="A6" s="4" t="s">
        <v>51</v>
      </c>
      <c r="B6" s="5">
        <v>202800</v>
      </c>
    </row>
    <row r="7" spans="1:2" x14ac:dyDescent="0.3">
      <c r="A7" s="4" t="s">
        <v>61</v>
      </c>
      <c r="B7" s="5">
        <v>356300</v>
      </c>
    </row>
    <row r="9" spans="1:2" x14ac:dyDescent="0.3">
      <c r="A9" s="3" t="s">
        <v>60</v>
      </c>
      <c r="B9" t="s">
        <v>62</v>
      </c>
    </row>
    <row r="10" spans="1:2" x14ac:dyDescent="0.3">
      <c r="A10" s="4" t="s">
        <v>18</v>
      </c>
      <c r="B10" s="5">
        <v>21300</v>
      </c>
    </row>
    <row r="11" spans="1:2" x14ac:dyDescent="0.3">
      <c r="A11" s="4" t="s">
        <v>13</v>
      </c>
      <c r="B11" s="5">
        <v>335000</v>
      </c>
    </row>
    <row r="12" spans="1:2" x14ac:dyDescent="0.3">
      <c r="A12" s="4" t="s">
        <v>61</v>
      </c>
      <c r="B12" s="5">
        <v>356300</v>
      </c>
    </row>
    <row r="14" spans="1:2" x14ac:dyDescent="0.3">
      <c r="A14" s="3" t="s">
        <v>60</v>
      </c>
      <c r="B14" t="s">
        <v>63</v>
      </c>
    </row>
    <row r="15" spans="1:2" x14ac:dyDescent="0.3">
      <c r="A15" s="4" t="s">
        <v>33</v>
      </c>
      <c r="B15" s="5">
        <v>5</v>
      </c>
    </row>
    <row r="16" spans="1:2" x14ac:dyDescent="0.3">
      <c r="A16" s="4" t="s">
        <v>23</v>
      </c>
      <c r="B16" s="5">
        <v>5</v>
      </c>
    </row>
    <row r="17" spans="1:2" x14ac:dyDescent="0.3">
      <c r="A17" s="4" t="s">
        <v>12</v>
      </c>
      <c r="B17" s="5">
        <v>5</v>
      </c>
    </row>
    <row r="18" spans="1:2" x14ac:dyDescent="0.3">
      <c r="A18" s="4" t="s">
        <v>26</v>
      </c>
      <c r="B18" s="5">
        <v>4</v>
      </c>
    </row>
    <row r="19" spans="1:2" x14ac:dyDescent="0.3">
      <c r="A19" s="4" t="s">
        <v>17</v>
      </c>
      <c r="B19" s="5">
        <v>8</v>
      </c>
    </row>
    <row r="20" spans="1:2" x14ac:dyDescent="0.3">
      <c r="A20" s="4" t="s">
        <v>61</v>
      </c>
      <c r="B20" s="5">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50AB0-42B6-4F6F-A44A-73D814454AA0}">
  <sheetPr>
    <pageSetUpPr autoPageBreaks="0"/>
  </sheetPr>
  <dimension ref="A1:R10"/>
  <sheetViews>
    <sheetView showGridLines="0" tabSelected="1" zoomScaleNormal="100" workbookViewId="0">
      <selection activeCell="N26" sqref="N26"/>
    </sheetView>
  </sheetViews>
  <sheetFormatPr defaultRowHeight="14.4" x14ac:dyDescent="0.3"/>
  <cols>
    <col min="1" max="1" width="10.21875" customWidth="1"/>
    <col min="2" max="2" width="15" customWidth="1"/>
    <col min="4" max="4" width="15" customWidth="1"/>
    <col min="7" max="7" width="6.5546875" customWidth="1"/>
    <col min="8" max="8" width="9" customWidth="1"/>
    <col min="9" max="9" width="11.33203125" customWidth="1"/>
  </cols>
  <sheetData>
    <row r="1" spans="1:18" ht="25.8" customHeight="1" x14ac:dyDescent="0.5">
      <c r="A1" s="6" t="s">
        <v>68</v>
      </c>
      <c r="B1" s="6"/>
      <c r="C1" s="6"/>
      <c r="D1" s="6"/>
      <c r="E1" s="6"/>
      <c r="F1" s="6"/>
      <c r="G1" s="6"/>
      <c r="H1" s="6"/>
      <c r="I1" s="6"/>
      <c r="J1" s="6"/>
      <c r="K1" s="6"/>
      <c r="L1" s="6"/>
      <c r="M1" s="6"/>
      <c r="N1" s="6"/>
      <c r="O1" s="6"/>
      <c r="P1" s="6"/>
      <c r="Q1" s="6"/>
      <c r="R1" s="6"/>
    </row>
    <row r="2" spans="1:18" ht="14.4" customHeight="1" x14ac:dyDescent="0.5">
      <c r="B2" s="7"/>
      <c r="C2" s="7"/>
      <c r="D2" s="7"/>
      <c r="E2" s="7"/>
      <c r="F2" s="7"/>
      <c r="G2" s="7"/>
      <c r="H2" s="7"/>
      <c r="I2" s="7"/>
      <c r="J2" s="7"/>
    </row>
    <row r="3" spans="1:18" x14ac:dyDescent="0.3">
      <c r="E3" s="14"/>
    </row>
    <row r="4" spans="1:18" x14ac:dyDescent="0.3">
      <c r="B4" s="9" t="s">
        <v>64</v>
      </c>
      <c r="D4" s="9" t="s">
        <v>65</v>
      </c>
      <c r="F4" s="15" t="s">
        <v>66</v>
      </c>
      <c r="G4" s="16"/>
      <c r="H4" s="8"/>
      <c r="I4" s="17" t="s">
        <v>67</v>
      </c>
      <c r="J4" s="18"/>
    </row>
    <row r="5" spans="1:18" x14ac:dyDescent="0.3">
      <c r="B5" s="12">
        <f>SUM('Clean Data'!H2:H20)</f>
        <v>355100</v>
      </c>
      <c r="D5" s="11">
        <f>COUNTA('[1]Cleaned Data'!A2:A20)</f>
        <v>19</v>
      </c>
      <c r="F5" s="13">
        <f>SUM('Clean Data'!G2:G20)</f>
        <v>25</v>
      </c>
      <c r="G5" s="10"/>
      <c r="H5" s="8"/>
      <c r="I5" s="19">
        <f>B5/D5</f>
        <v>18689.473684210527</v>
      </c>
      <c r="J5" s="20"/>
    </row>
    <row r="8" spans="1:18" x14ac:dyDescent="0.3">
      <c r="B8" s="4"/>
      <c r="C8" s="5"/>
    </row>
    <row r="9" spans="1:18" x14ac:dyDescent="0.3">
      <c r="B9" s="4"/>
      <c r="C9" s="5"/>
    </row>
    <row r="10" spans="1:18" x14ac:dyDescent="0.3">
      <c r="B10" s="4"/>
      <c r="C10" s="5"/>
    </row>
  </sheetData>
  <mergeCells count="3">
    <mergeCell ref="A1:R1"/>
    <mergeCell ref="I4:J4"/>
    <mergeCell ref="I5:J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Sales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 Kumari</dc:creator>
  <cp:lastModifiedBy>Puja Kumari</cp:lastModifiedBy>
  <dcterms:created xsi:type="dcterms:W3CDTF">2026-09-20T08:01:06Z</dcterms:created>
  <dcterms:modified xsi:type="dcterms:W3CDTF">2026-09-20T14:25:22Z</dcterms:modified>
</cp:coreProperties>
</file>